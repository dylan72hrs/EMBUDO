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masterdrilling-my.sharepoint.com/personal/imaulen_masterdrilling_com/Documents/escritorio/"/>
    </mc:Choice>
  </mc:AlternateContent>
  <xr:revisionPtr revIDLastSave="427" documentId="13_ncr:1_{06D0285B-CD47-4EBC-B335-737345A4BC1C}" xr6:coauthVersionLast="47" xr6:coauthVersionMax="47" xr10:uidLastSave="{2D5222C2-37AF-427C-AE82-BBC2CC7BD464}"/>
  <bookViews>
    <workbookView xWindow="-20610" yWindow="-120" windowWidth="20730" windowHeight="11040" xr2:uid="{1774876D-94EB-49CE-8D57-109FBED1BD57}"/>
  </bookViews>
  <sheets>
    <sheet name="TABLA COMPARATIVA" sheetId="1" r:id="rId1"/>
    <sheet name="RODAMAC" sheetId="2" state="hidden" r:id="rId2"/>
    <sheet name="DUCASSE " sheetId="3" state="hidden" r:id="rId3"/>
    <sheet name="RODAMINETOS INDUSTRIALES " sheetId="4" state="hidden" r:id="rId4"/>
  </sheets>
  <definedNames>
    <definedName name="_xlnm.Print_Area" localSheetId="0">'TABLA COMPARATIVA'!$A$1:$V$43</definedName>
  </definedNames>
  <calcPr calcId="191028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6" i="1"/>
  <c r="J14" i="1"/>
  <c r="J13" i="1"/>
  <c r="H11" i="1"/>
  <c r="H10" i="1"/>
  <c r="F8" i="1" l="1"/>
  <c r="L19" i="1"/>
  <c r="L20" i="1"/>
  <c r="L21" i="1"/>
  <c r="L22" i="1"/>
  <c r="L23" i="1"/>
  <c r="L24" i="1"/>
  <c r="L25" i="1"/>
  <c r="L26" i="1"/>
  <c r="L27" i="1"/>
  <c r="J19" i="1"/>
  <c r="J20" i="1"/>
  <c r="J21" i="1"/>
  <c r="J22" i="1"/>
  <c r="J23" i="1"/>
  <c r="J24" i="1"/>
  <c r="J25" i="1"/>
  <c r="J26" i="1"/>
  <c r="J27" i="1"/>
  <c r="H19" i="1"/>
  <c r="H20" i="1"/>
  <c r="H21" i="1"/>
  <c r="H22" i="1"/>
  <c r="H23" i="1"/>
  <c r="H24" i="1"/>
  <c r="H25" i="1"/>
  <c r="H26" i="1"/>
  <c r="H27" i="1"/>
  <c r="F19" i="1"/>
  <c r="F20" i="1"/>
  <c r="F21" i="1"/>
  <c r="F22" i="1"/>
  <c r="F23" i="1"/>
  <c r="F24" i="1"/>
  <c r="F25" i="1"/>
  <c r="F26" i="1"/>
  <c r="F27" i="1"/>
  <c r="AX6" i="1"/>
  <c r="AX7" i="1"/>
  <c r="AX8" i="1"/>
  <c r="AX9" i="1"/>
  <c r="AX10" i="1"/>
  <c r="AX11" i="1"/>
  <c r="G28" i="1" l="1"/>
  <c r="E28" i="1"/>
  <c r="AY6" i="1" s="1"/>
  <c r="G40" i="1"/>
  <c r="H40" i="1" s="1"/>
  <c r="F40" i="1"/>
  <c r="L45" i="1"/>
  <c r="G45" i="1" s="1"/>
  <c r="H45" i="1" s="1"/>
  <c r="L46" i="1"/>
  <c r="G46" i="1" s="1"/>
  <c r="H46" i="1" s="1"/>
  <c r="L47" i="1"/>
  <c r="H47" i="1" s="1"/>
  <c r="L48" i="1"/>
  <c r="G48" i="1" s="1"/>
  <c r="H48" i="1" s="1"/>
  <c r="L49" i="1"/>
  <c r="G49" i="1" s="1"/>
  <c r="H49" i="1" s="1"/>
  <c r="L50" i="1"/>
  <c r="G50" i="1" s="1"/>
  <c r="H50" i="1" s="1"/>
  <c r="L44" i="1"/>
  <c r="K28" i="1" l="1"/>
  <c r="AY9" i="1" s="1"/>
  <c r="I28" i="1"/>
  <c r="AY8" i="1" s="1"/>
  <c r="AY7" i="1"/>
  <c r="G44" i="1"/>
  <c r="H44" i="1" s="1"/>
  <c r="O28" i="1" l="1"/>
  <c r="AY11" i="1" s="1"/>
  <c r="M28" i="1"/>
  <c r="AY10" i="1" s="1"/>
</calcChain>
</file>

<file path=xl/sharedStrings.xml><?xml version="1.0" encoding="utf-8"?>
<sst xmlns="http://schemas.openxmlformats.org/spreadsheetml/2006/main" count="94" uniqueCount="49">
  <si>
    <t xml:space="preserve"> Entrada en vigencia:    Marzo 2025                          Documento N°: SRE-MDC-LOG-02                                         Versión: 01</t>
  </si>
  <si>
    <t>TABLA COMPARATIVA PROCESO DE COMPRAS - ADQUISICIONES MD</t>
  </si>
  <si>
    <t>x</t>
  </si>
  <si>
    <t>y</t>
  </si>
  <si>
    <t>ITEM</t>
  </si>
  <si>
    <t>PRODUCTO</t>
  </si>
  <si>
    <t>CANT</t>
  </si>
  <si>
    <t>UM</t>
  </si>
  <si>
    <t>DIMERC</t>
  </si>
  <si>
    <t>Etiquetas de fila</t>
  </si>
  <si>
    <t>Suma de y</t>
  </si>
  <si>
    <t>P. UNIT</t>
  </si>
  <si>
    <t>TOTAL</t>
  </si>
  <si>
    <t>CU</t>
  </si>
  <si>
    <t>Total general</t>
  </si>
  <si>
    <t xml:space="preserve">COMPRA </t>
  </si>
  <si>
    <t>PROVEEDOR MD (CON CRÉDITO)</t>
  </si>
  <si>
    <t>SI</t>
  </si>
  <si>
    <t>CONDICIÓN DE PAGO</t>
  </si>
  <si>
    <t xml:space="preserve">30 DIAS </t>
  </si>
  <si>
    <t>PLAZO DE ENTREGA</t>
  </si>
  <si>
    <t xml:space="preserve">A CONVENIR </t>
  </si>
  <si>
    <t>GRADO DE URGENCIA</t>
  </si>
  <si>
    <t>COSTOS ASOCIADOS</t>
  </si>
  <si>
    <t xml:space="preserve">CRITERIO DE ADJUDICACIÓN: SE ADJUDICA LA COMPRA DE SOLDADURAS MARCA LINCON PROVEEDOR CODINSA SEGÚN REQUERIMIENTO DE INGENIERIA TIENE QUE SER ESTA MARCA QUE ES LA QUE MEJOR USO DIO EN COMPARACION A LAS DE SOLTEC, ITEM 4 QUE SE LA ADJUDICA PROVEEDOR MERSUD POR SER LA MARCA LINCON REQUERIDA POR SOLDADORES </t>
  </si>
  <si>
    <t>RESPONSABLE DE LA ADJUDICACIÓN:</t>
  </si>
  <si>
    <t>COMPRADOR RESPONSABLE:</t>
  </si>
  <si>
    <t xml:space="preserve">GONZALO DIAZ </t>
  </si>
  <si>
    <t xml:space="preserve">COMPARATIVO MPI % &lt;70%-120%&gt; </t>
  </si>
  <si>
    <t>COMPRAS 202</t>
  </si>
  <si>
    <t xml:space="preserve">ITEM </t>
  </si>
  <si>
    <t xml:space="preserve">DESCRIPCION </t>
  </si>
  <si>
    <t xml:space="preserve">CODIGO </t>
  </si>
  <si>
    <t>CANTIDAD</t>
  </si>
  <si>
    <t>$ PROMEDIO</t>
  </si>
  <si>
    <t>SICOT</t>
  </si>
  <si>
    <t>FULL SUMINISTROS</t>
  </si>
  <si>
    <t>ITLOGIC</t>
  </si>
  <si>
    <t>Echave Turri</t>
  </si>
  <si>
    <t>TecnoMercado</t>
  </si>
  <si>
    <t>Adis</t>
  </si>
  <si>
    <t>FullSuministros</t>
  </si>
  <si>
    <t>Samsung Monitor 24” FHD 120HZ/Plano/IPS/HDMIX2</t>
  </si>
  <si>
    <t>Monitor AOC 24 IPS FHD 100Hz (24E3H2)</t>
  </si>
  <si>
    <t>Klip Xtreme Soporte Monitor Neumatico 17-27" 6,5Kg</t>
  </si>
  <si>
    <t>Soporte de Mesa para 1 Pantalla LCD Klip Xtreme de 13" a 32" - Rotación de 360°</t>
  </si>
  <si>
    <t>Pantalla Plana Samsung Essential S3 LS24F320 de 23,8" LCD</t>
  </si>
  <si>
    <t xml:space="preserve"> AOC MONITOR 24 FHD 100HZ PANEL VA 24B30HM2</t>
  </si>
  <si>
    <t>KLIP XTREME BASE KX KMM-400 MONITOR MOUNT
PNEUMATIC 13-27 CLAMP/GROMMET KLIP 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</si>
</sst>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8" borderId="0" applyNumberFormat="0" applyBorder="0" applyAlignment="0" applyProtection="0"/>
  </cellStyleXfs>
  <cellXfs count="119">
    <xf numFmtId="0" fontId="0" fillId="0" borderId="0" xfId="0"/>
    <xf numFmtId="0" fontId="0" fillId="0" borderId="3" xfId="0" applyBorder="1"/>
    <xf numFmtId="0" fontId="0" fillId="0" borderId="4" xfId="0" applyBorder="1"/>
    <xf numFmtId="42" fontId="0" fillId="0" borderId="10" xfId="1" applyFont="1" applyBorder="1" applyAlignment="1">
      <alignment horizontal="center"/>
    </xf>
    <xf numFmtId="42" fontId="0" fillId="0" borderId="9" xfId="1" applyFont="1" applyBorder="1" applyAlignment="1">
      <alignment horizontal="center"/>
    </xf>
    <xf numFmtId="42" fontId="0" fillId="0" borderId="7" xfId="1" applyFont="1" applyBorder="1" applyAlignment="1">
      <alignment vertical="center" wrapText="1"/>
    </xf>
    <xf numFmtId="42" fontId="0" fillId="2" borderId="9" xfId="1" applyFont="1" applyFill="1" applyBorder="1" applyAlignment="1">
      <alignment horizontal="center"/>
    </xf>
    <xf numFmtId="4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5" borderId="2" xfId="0" applyFont="1" applyFill="1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6" fillId="0" borderId="22" xfId="0" applyFont="1" applyBorder="1"/>
    <xf numFmtId="42" fontId="0" fillId="0" borderId="22" xfId="1" applyFont="1" applyBorder="1"/>
    <xf numFmtId="0" fontId="0" fillId="0" borderId="13" xfId="0" applyBorder="1" applyAlignment="1">
      <alignment horizontal="center" vertical="center"/>
    </xf>
    <xf numFmtId="42" fontId="0" fillId="0" borderId="1" xfId="0" applyNumberFormat="1" applyBorder="1" applyAlignment="1">
      <alignment horizontal="center"/>
    </xf>
    <xf numFmtId="0" fontId="7" fillId="0" borderId="22" xfId="0" applyFont="1" applyBorder="1" applyAlignment="1">
      <alignment horizontal="right" wrapText="1" readingOrder="1"/>
    </xf>
    <xf numFmtId="9" fontId="6" fillId="0" borderId="22" xfId="2" applyFont="1" applyBorder="1"/>
    <xf numFmtId="42" fontId="6" fillId="7" borderId="22" xfId="0" applyNumberFormat="1" applyFont="1" applyFill="1" applyBorder="1" applyAlignment="1">
      <alignment horizontal="center"/>
    </xf>
    <xf numFmtId="0" fontId="8" fillId="0" borderId="22" xfId="0" applyFont="1" applyBorder="1" applyAlignment="1">
      <alignment horizontal="left" readingOrder="1"/>
    </xf>
    <xf numFmtId="42" fontId="0" fillId="0" borderId="0" xfId="1" applyFont="1"/>
    <xf numFmtId="0" fontId="1" fillId="6" borderId="0" xfId="0" applyFont="1" applyFill="1" applyAlignment="1">
      <alignment horizontal="left"/>
    </xf>
    <xf numFmtId="9" fontId="0" fillId="0" borderId="0" xfId="2" applyFont="1"/>
    <xf numFmtId="42" fontId="0" fillId="2" borderId="10" xfId="1" applyFont="1" applyFill="1" applyBorder="1" applyAlignment="1">
      <alignment horizontal="center"/>
    </xf>
    <xf numFmtId="42" fontId="0" fillId="2" borderId="7" xfId="1" applyFont="1" applyFill="1" applyBorder="1" applyAlignment="1">
      <alignment vertical="center" wrapText="1"/>
    </xf>
    <xf numFmtId="0" fontId="3" fillId="5" borderId="24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42" fontId="0" fillId="0" borderId="25" xfId="1" applyFont="1" applyBorder="1"/>
    <xf numFmtId="42" fontId="0" fillId="2" borderId="25" xfId="1" applyFont="1" applyFill="1" applyBorder="1" applyAlignment="1">
      <alignment horizontal="center"/>
    </xf>
    <xf numFmtId="42" fontId="0" fillId="2" borderId="26" xfId="1" applyFont="1" applyFill="1" applyBorder="1" applyAlignment="1">
      <alignment horizontal="center"/>
    </xf>
    <xf numFmtId="42" fontId="0" fillId="2" borderId="17" xfId="1" applyFont="1" applyFill="1" applyBorder="1" applyAlignment="1">
      <alignment horizontal="center"/>
    </xf>
    <xf numFmtId="42" fontId="12" fillId="2" borderId="10" xfId="3" applyNumberFormat="1" applyFill="1" applyBorder="1" applyAlignment="1">
      <alignment horizontal="center"/>
    </xf>
    <xf numFmtId="0" fontId="9" fillId="0" borderId="27" xfId="0" applyFont="1" applyBorder="1" applyAlignment="1">
      <alignment horizontal="center" vertical="center"/>
    </xf>
    <xf numFmtId="42" fontId="4" fillId="0" borderId="25" xfId="1" applyFont="1" applyBorder="1"/>
    <xf numFmtId="42" fontId="4" fillId="2" borderId="17" xfId="1" applyFont="1" applyFill="1" applyBorder="1" applyAlignment="1">
      <alignment horizontal="center"/>
    </xf>
    <xf numFmtId="42" fontId="4" fillId="2" borderId="25" xfId="1" applyFont="1" applyFill="1" applyBorder="1" applyAlignment="1">
      <alignment horizontal="center"/>
    </xf>
    <xf numFmtId="42" fontId="4" fillId="2" borderId="10" xfId="3" applyNumberFormat="1" applyFont="1" applyFill="1" applyBorder="1" applyAlignment="1">
      <alignment horizontal="center"/>
    </xf>
    <xf numFmtId="42" fontId="4" fillId="2" borderId="7" xfId="1" applyFont="1" applyFill="1" applyBorder="1" applyAlignment="1">
      <alignment vertical="center" wrapText="1"/>
    </xf>
    <xf numFmtId="42" fontId="4" fillId="2" borderId="9" xfId="1" applyFont="1" applyFill="1" applyBorder="1" applyAlignment="1">
      <alignment horizontal="center"/>
    </xf>
    <xf numFmtId="42" fontId="4" fillId="0" borderId="7" xfId="1" applyFont="1" applyBorder="1" applyAlignment="1">
      <alignment vertical="center" wrapText="1"/>
    </xf>
    <xf numFmtId="42" fontId="4" fillId="0" borderId="9" xfId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42" fontId="4" fillId="0" borderId="0" xfId="0" applyNumberFormat="1" applyFont="1"/>
    <xf numFmtId="42" fontId="4" fillId="2" borderId="25" xfId="3" applyNumberFormat="1" applyFont="1" applyFill="1" applyBorder="1"/>
    <xf numFmtId="42" fontId="4" fillId="2" borderId="17" xfId="3" applyNumberFormat="1" applyFont="1" applyFill="1" applyBorder="1" applyAlignment="1">
      <alignment horizontal="center"/>
    </xf>
    <xf numFmtId="42" fontId="4" fillId="2" borderId="25" xfId="3" applyNumberFormat="1" applyFont="1" applyFill="1" applyBorder="1" applyAlignment="1">
      <alignment horizontal="center"/>
    </xf>
    <xf numFmtId="42" fontId="4" fillId="2" borderId="7" xfId="3" applyNumberFormat="1" applyFont="1" applyFill="1" applyBorder="1" applyAlignment="1">
      <alignment vertical="center" wrapText="1"/>
    </xf>
    <xf numFmtId="42" fontId="4" fillId="2" borderId="9" xfId="3" applyNumberFormat="1" applyFont="1" applyFill="1" applyBorder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42" fontId="4" fillId="2" borderId="0" xfId="0" applyNumberFormat="1" applyFont="1" applyFill="1"/>
    <xf numFmtId="0" fontId="9" fillId="0" borderId="30" xfId="0" applyFont="1" applyBorder="1" applyAlignment="1">
      <alignment horizontal="center" vertical="center"/>
    </xf>
    <xf numFmtId="42" fontId="4" fillId="2" borderId="26" xfId="3" applyNumberFormat="1" applyFont="1" applyFill="1" applyBorder="1"/>
    <xf numFmtId="42" fontId="4" fillId="2" borderId="26" xfId="3" applyNumberFormat="1" applyFont="1" applyFill="1" applyBorder="1" applyAlignment="1">
      <alignment horizontal="center"/>
    </xf>
    <xf numFmtId="0" fontId="0" fillId="0" borderId="25" xfId="0" applyBorder="1"/>
    <xf numFmtId="42" fontId="12" fillId="2" borderId="25" xfId="3" applyNumberFormat="1" applyFill="1" applyBorder="1"/>
    <xf numFmtId="42" fontId="12" fillId="2" borderId="17" xfId="3" applyNumberFormat="1" applyFill="1" applyBorder="1" applyAlignment="1">
      <alignment horizontal="center"/>
    </xf>
    <xf numFmtId="0" fontId="1" fillId="3" borderId="1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wrapText="1" readingOrder="1"/>
    </xf>
    <xf numFmtId="0" fontId="8" fillId="0" borderId="16" xfId="0" applyFont="1" applyBorder="1" applyAlignment="1">
      <alignment horizontal="left" wrapText="1" readingOrder="1"/>
    </xf>
    <xf numFmtId="0" fontId="0" fillId="0" borderId="16" xfId="0" applyBorder="1"/>
    <xf numFmtId="0" fontId="4" fillId="2" borderId="16" xfId="3" applyFont="1" applyFill="1" applyBorder="1" applyAlignment="1">
      <alignment horizontal="left" wrapText="1" readingOrder="1"/>
    </xf>
    <xf numFmtId="0" fontId="0" fillId="0" borderId="16" xfId="0" applyBorder="1" applyAlignment="1">
      <alignment wrapText="1"/>
    </xf>
    <xf numFmtId="0" fontId="4" fillId="2" borderId="29" xfId="3" applyFont="1" applyFill="1" applyBorder="1" applyAlignment="1">
      <alignment horizontal="left" wrapText="1" readingOrder="1"/>
    </xf>
    <xf numFmtId="0" fontId="8" fillId="0" borderId="16" xfId="0" applyFont="1" applyBorder="1" applyAlignment="1">
      <alignment horizontal="left" readingOrder="1"/>
    </xf>
    <xf numFmtId="0" fontId="13" fillId="0" borderId="16" xfId="0" applyFont="1" applyBorder="1" applyAlignment="1">
      <alignment horizontal="left" readingOrder="1"/>
    </xf>
    <xf numFmtId="0" fontId="8" fillId="0" borderId="28" xfId="0" applyFont="1" applyBorder="1" applyAlignment="1">
      <alignment horizontal="left" readingOrder="1"/>
    </xf>
    <xf numFmtId="0" fontId="4" fillId="2" borderId="31" xfId="3" applyFont="1" applyFill="1" applyBorder="1" applyAlignment="1">
      <alignment horizontal="left" wrapText="1" readingOrder="1"/>
    </xf>
    <xf numFmtId="0" fontId="8" fillId="0" borderId="31" xfId="0" applyFont="1" applyBorder="1" applyAlignment="1">
      <alignment horizontal="left" wrapText="1" readingOrder="1"/>
    </xf>
    <xf numFmtId="0" fontId="8" fillId="0" borderId="31" xfId="0" applyFont="1" applyBorder="1" applyAlignment="1">
      <alignment horizontal="left" readingOrder="1"/>
    </xf>
    <xf numFmtId="0" fontId="9" fillId="0" borderId="1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left" vertical="top" wrapText="1"/>
    </xf>
    <xf numFmtId="0" fontId="1" fillId="6" borderId="14" xfId="0" applyFont="1" applyFill="1" applyBorder="1" applyAlignment="1">
      <alignment horizontal="left" vertical="top" wrapText="1"/>
    </xf>
    <xf numFmtId="0" fontId="1" fillId="6" borderId="15" xfId="0" applyFont="1" applyFill="1" applyBorder="1" applyAlignment="1">
      <alignment horizontal="left" vertical="top" wrapText="1"/>
    </xf>
    <xf numFmtId="0" fontId="0" fillId="0" borderId="14" xfId="0" applyBorder="1" applyAlignment="1">
      <alignment horizontal="center" vertical="center"/>
    </xf>
    <xf numFmtId="0" fontId="10" fillId="7" borderId="23" xfId="0" applyFont="1" applyFill="1" applyBorder="1" applyAlignment="1">
      <alignment horizontal="center"/>
    </xf>
    <xf numFmtId="0" fontId="11" fillId="7" borderId="2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42" fontId="0" fillId="0" borderId="13" xfId="0" applyNumberFormat="1" applyBorder="1" applyAlignment="1">
      <alignment horizontal="center"/>
    </xf>
    <xf numFmtId="42" fontId="0" fillId="0" borderId="15" xfId="0" applyNumberFormat="1" applyBorder="1" applyAlignment="1">
      <alignment horizontal="center"/>
    </xf>
    <xf numFmtId="0" fontId="3" fillId="5" borderId="24" xfId="0" applyFont="1" applyFill="1" applyBorder="1" applyAlignment="1">
      <alignment horizontal="center" vertical="center"/>
    </xf>
    <xf numFmtId="42" fontId="4" fillId="2" borderId="13" xfId="3" applyNumberFormat="1" applyFont="1" applyFill="1" applyBorder="1" applyAlignment="1">
      <alignment horizontal="center"/>
    </xf>
    <xf numFmtId="42" fontId="4" fillId="2" borderId="15" xfId="3" applyNumberFormat="1" applyFont="1" applyFill="1" applyBorder="1" applyAlignment="1">
      <alignment horizontal="center"/>
    </xf>
    <xf numFmtId="42" fontId="0" fillId="0" borderId="0" xfId="1" applyFont="1"/>
    <xf numFmtId="0" fontId="4" fillId="2" borderId="18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textRotation="45"/>
    </xf>
    <xf numFmtId="0" fontId="1" fillId="3" borderId="2" xfId="0" applyFont="1" applyFill="1" applyBorder="1" applyAlignment="1">
      <alignment horizontal="center" vertical="center" textRotation="45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6" borderId="8" xfId="0" applyFont="1" applyFill="1" applyBorder="1" applyAlignment="1">
      <alignment horizontal="left"/>
    </xf>
    <xf numFmtId="0" fontId="1" fillId="6" borderId="20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1" fillId="6" borderId="19" xfId="0" applyFont="1" applyFill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0" xfId="0" applyAlignment="1">
      <alignment wrapText="1"/>
    </xf>
  </cellXfs>
  <cellStyles count="4">
    <cellStyle name="Bueno" xfId="3" builtinId="26"/>
    <cellStyle name="Moneda [0]" xfId="1" builtinId="7"/>
    <cellStyle name="Normal" xfId="0" builtinId="0"/>
    <cellStyle name="Porcentaje" xfId="2" builtinId="5"/>
  </cellStyles>
  <dxfs count="1">
    <dxf>
      <numFmt numFmtId="32" formatCode="_ &quot;$&quot;* #,##0_ ;_ &quot;$&quot;* \-#,##0_ ;_ &quot;$&quot;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673894</xdr:colOff>
      <xdr:row>0</xdr:row>
      <xdr:rowOff>23812</xdr:rowOff>
    </xdr:from>
    <xdr:to>
      <xdr:col>1</xdr:col>
      <xdr:colOff>1288991</xdr:colOff>
      <xdr:row>3</xdr:row>
      <xdr:rowOff>146208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505CDF-F80C-4B34-8AEA-70AD8A9F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457" y="23812"/>
          <a:ext cx="609382" cy="6881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563011</xdr:colOff>
      <xdr:row>26</xdr:row>
      <xdr:rowOff>143586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307BF8-F757-4A8E-900F-ABA856EE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21011" cy="5096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96220</xdr:colOff>
      <xdr:row>29</xdr:row>
      <xdr:rowOff>29350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7933A1-8B5F-4FA4-B7FF-7A342A0FD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54220" cy="555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439168</xdr:colOff>
      <xdr:row>23</xdr:row>
      <xdr:rowOff>10138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7AB752-417F-497E-A09F-0ABB3476C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97168" cy="43916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nesis Contreras" refreshedDate="45736.625081712962" createdVersion="8" refreshedVersion="8" minRefreshableVersion="3" recordCount="6" xr:uid="{4AF430DA-27D1-407A-A012-52EE4E864B2E}">
  <cacheSource type="worksheet">
    <worksheetSource ref="BG5:BH11" sheet="TABLA COMPARATIVA"/>
  </cacheSource>
  <cacheFields count="2">
    <cacheField name="x" numFmtId="0">
      <sharedItems containsMixedTypes="1" containsNumber="1" containsInteger="1" minValue="0" maxValue="0" count="5">
        <s v="SICOT"/>
        <s v="DIMERC"/>
        <s v="FULL SUMINISTROS"/>
        <s v="ITLOGIC"/>
        <n v="0"/>
      </sharedItems>
    </cacheField>
    <cacheField name="y" numFmtId="42">
      <sharedItems containsSemiMixedTypes="0" containsString="0" containsNumber="1" containsInteger="1" minValue="0" maxValue="83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15000"/>
  </r>
  <r>
    <x v="1"/>
    <n v="163013"/>
  </r>
  <r>
    <x v="2"/>
    <n v="837000"/>
  </r>
  <r>
    <x v="3"/>
    <n v="267690"/>
  </r>
  <r>
    <x v="4"/>
    <n v="0"/>
  </r>
  <r>
    <x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A8263-BFAD-40F2-991B-4999F24C40CC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S6:AT12" firstHeaderRow="1" firstDataRow="1" firstDataCol="1"/>
  <pivotFields count="2">
    <pivotField axis="axisRow" showAll="0" sortType="descending">
      <items count="6">
        <item x="4"/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2" showAll="0"/>
  </pivotFields>
  <rowFields count="1">
    <field x="0"/>
  </rowFields>
  <rowItems count="6">
    <i>
      <x v="3"/>
    </i>
    <i>
      <x v="2"/>
    </i>
    <i>
      <x v="4"/>
    </i>
    <i>
      <x v="1"/>
    </i>
    <i>
      <x/>
    </i>
    <i t="grand">
      <x/>
    </i>
  </rowItems>
  <colItems count="1">
    <i/>
  </colItems>
  <dataFields count="1">
    <dataField name="Suma de y" fld="1" baseField="0" baseItem="0"/>
  </dataFields>
  <formats count="1">
    <format dxfId="0">
      <pivotArea outline="0" collapsedLevelsAreSubtotals="1" fieldPosition="0"/>
    </format>
  </format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0CE6-570D-4F77-AD0B-A1A595E1B82A}">
  <sheetPr>
    <pageSetUpPr fitToPage="1"/>
  </sheetPr>
  <dimension ref="A1:AY50"/>
  <sheetViews>
    <sheetView tabSelected="1" topLeftCell="A9" zoomScale="70" zoomScaleNormal="70" workbookViewId="0">
      <selection activeCell="K19" sqref="K19"/>
    </sheetView>
  </sheetViews>
  <sheetFormatPr baseColWidth="10" defaultColWidth="11.42578125" defaultRowHeight="15" x14ac:dyDescent="0.25"/>
  <cols>
    <col min="1" max="1" width="6.42578125" bestFit="1" customWidth="1"/>
    <col min="2" max="2" width="104.7109375" bestFit="1" customWidth="1"/>
    <col min="3" max="3" width="12.140625" customWidth="1"/>
    <col min="4" max="4" width="10.140625" bestFit="1" customWidth="1"/>
    <col min="5" max="5" width="13" bestFit="1" customWidth="1"/>
    <col min="6" max="6" width="15" bestFit="1" customWidth="1"/>
    <col min="7" max="7" width="18.42578125" customWidth="1"/>
    <col min="8" max="8" width="12.140625" bestFit="1" customWidth="1"/>
    <col min="9" max="9" width="11.42578125" customWidth="1"/>
    <col min="10" max="10" width="17.140625" customWidth="1"/>
    <col min="11" max="11" width="11.42578125" customWidth="1"/>
    <col min="12" max="12" width="16.28515625" customWidth="1"/>
    <col min="13" max="15" width="11.42578125" customWidth="1"/>
    <col min="19" max="19" width="12.42578125" bestFit="1" customWidth="1"/>
    <col min="45" max="45" width="17.7109375" bestFit="1" customWidth="1"/>
    <col min="46" max="46" width="11" bestFit="1" customWidth="1"/>
    <col min="48" max="48" width="18.42578125" bestFit="1" customWidth="1"/>
    <col min="49" max="49" width="10.5703125" bestFit="1" customWidth="1"/>
    <col min="50" max="50" width="16" bestFit="1" customWidth="1"/>
    <col min="51" max="51" width="12" bestFit="1" customWidth="1"/>
  </cols>
  <sheetData>
    <row r="1" spans="1:51" x14ac:dyDescent="0.25">
      <c r="A1" s="103"/>
      <c r="B1" s="103"/>
      <c r="C1" s="101" t="s">
        <v>0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2" spans="1:51" x14ac:dyDescent="0.25">
      <c r="A2" s="103"/>
      <c r="B2" s="103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</row>
    <row r="3" spans="1:51" x14ac:dyDescent="0.25">
      <c r="A3" s="103"/>
      <c r="B3" s="103"/>
      <c r="C3" s="102" t="s">
        <v>1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51" x14ac:dyDescent="0.25">
      <c r="A4" s="103"/>
      <c r="B4" s="103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</row>
    <row r="5" spans="1:51" ht="15.75" thickBot="1" x14ac:dyDescent="0.3">
      <c r="AX5" t="s">
        <v>2</v>
      </c>
      <c r="AY5" t="s">
        <v>3</v>
      </c>
    </row>
    <row r="6" spans="1:51" ht="24" customHeight="1" thickBot="1" x14ac:dyDescent="0.3">
      <c r="A6" s="104" t="s">
        <v>4</v>
      </c>
      <c r="B6" s="90" t="s">
        <v>5</v>
      </c>
      <c r="C6" s="90" t="s">
        <v>6</v>
      </c>
      <c r="D6" s="90" t="s">
        <v>7</v>
      </c>
      <c r="E6" s="92" t="s">
        <v>39</v>
      </c>
      <c r="F6" s="94"/>
      <c r="G6" s="92" t="s">
        <v>41</v>
      </c>
      <c r="H6" s="94"/>
      <c r="I6" s="92" t="s">
        <v>38</v>
      </c>
      <c r="J6" s="94"/>
      <c r="K6" s="92" t="s">
        <v>40</v>
      </c>
      <c r="L6" s="94"/>
      <c r="M6" s="92"/>
      <c r="N6" s="94"/>
      <c r="O6" s="92"/>
      <c r="P6" s="94"/>
      <c r="AS6" s="8" t="s">
        <v>9</v>
      </c>
      <c r="AT6" t="s">
        <v>10</v>
      </c>
      <c r="AX6" t="str">
        <f>E6</f>
        <v>TecnoMercado</v>
      </c>
      <c r="AY6" s="7">
        <f>E28</f>
        <v>100832</v>
      </c>
    </row>
    <row r="7" spans="1:51" ht="18.75" customHeight="1" thickBot="1" x14ac:dyDescent="0.3">
      <c r="A7" s="105"/>
      <c r="B7" s="97"/>
      <c r="C7" s="91"/>
      <c r="D7" s="91"/>
      <c r="E7" s="26" t="s">
        <v>11</v>
      </c>
      <c r="F7" s="10" t="s">
        <v>12</v>
      </c>
      <c r="G7" s="26" t="s">
        <v>11</v>
      </c>
      <c r="H7" s="10" t="s">
        <v>12</v>
      </c>
      <c r="I7" s="26" t="s">
        <v>11</v>
      </c>
      <c r="J7" s="10" t="s">
        <v>12</v>
      </c>
      <c r="K7" s="10" t="s">
        <v>11</v>
      </c>
      <c r="L7" s="10" t="s">
        <v>12</v>
      </c>
      <c r="M7" s="10" t="s">
        <v>11</v>
      </c>
      <c r="N7" s="10" t="s">
        <v>12</v>
      </c>
      <c r="O7" s="10" t="s">
        <v>11</v>
      </c>
      <c r="P7" s="10" t="s">
        <v>12</v>
      </c>
      <c r="AS7" s="9" t="s">
        <v>36</v>
      </c>
      <c r="AT7" s="7">
        <v>837000</v>
      </c>
      <c r="AX7" t="str">
        <f>G6</f>
        <v>FullSuministros</v>
      </c>
      <c r="AY7" s="7">
        <f>G28</f>
        <v>101120</v>
      </c>
    </row>
    <row r="8" spans="1:51" ht="15.75" thickBot="1" x14ac:dyDescent="0.3">
      <c r="A8" s="59">
        <v>1</v>
      </c>
      <c r="B8" s="64" t="s">
        <v>42</v>
      </c>
      <c r="C8" s="53">
        <v>1</v>
      </c>
      <c r="D8" s="27" t="s">
        <v>13</v>
      </c>
      <c r="E8" s="28">
        <v>100832</v>
      </c>
      <c r="F8" s="31">
        <f>(E8*C8)</f>
        <v>100832</v>
      </c>
      <c r="G8" s="28"/>
      <c r="H8" s="31"/>
      <c r="I8" s="29"/>
      <c r="J8" s="31"/>
      <c r="K8" s="32"/>
      <c r="L8" s="31"/>
      <c r="M8" s="3"/>
      <c r="N8" s="4"/>
      <c r="O8" s="3"/>
      <c r="P8" s="4"/>
      <c r="AS8" s="9" t="s">
        <v>35</v>
      </c>
      <c r="AT8" s="7">
        <v>415000</v>
      </c>
      <c r="AX8" t="str">
        <f>I6</f>
        <v>Echave Turri</v>
      </c>
      <c r="AY8" s="7">
        <f>I28</f>
        <v>108148</v>
      </c>
    </row>
    <row r="9" spans="1:51" ht="15.75" thickBot="1" x14ac:dyDescent="0.3">
      <c r="A9" s="60">
        <v>2</v>
      </c>
      <c r="B9" s="65"/>
      <c r="C9" s="53">
        <v>1</v>
      </c>
      <c r="D9" s="27" t="s">
        <v>13</v>
      </c>
      <c r="E9" s="28"/>
      <c r="F9" s="31"/>
      <c r="G9" s="28"/>
      <c r="H9" s="31"/>
      <c r="I9" s="29"/>
      <c r="J9" s="31"/>
      <c r="K9" s="32"/>
      <c r="L9" s="31"/>
      <c r="M9" s="24"/>
      <c r="N9" s="6"/>
      <c r="O9" s="3"/>
      <c r="P9" s="4"/>
      <c r="AS9" s="9" t="s">
        <v>37</v>
      </c>
      <c r="AT9" s="7">
        <v>267690</v>
      </c>
      <c r="AX9" t="str">
        <f>K6</f>
        <v>Adis</v>
      </c>
      <c r="AY9" s="7">
        <f>K28</f>
        <v>95318</v>
      </c>
    </row>
    <row r="10" spans="1:51" ht="15.75" thickBot="1" x14ac:dyDescent="0.3">
      <c r="A10" s="61">
        <v>3</v>
      </c>
      <c r="B10" s="66" t="s">
        <v>43</v>
      </c>
      <c r="C10" s="53">
        <v>1</v>
      </c>
      <c r="D10" s="27" t="s">
        <v>13</v>
      </c>
      <c r="E10" s="28"/>
      <c r="F10" s="31"/>
      <c r="G10" s="28">
        <v>71820</v>
      </c>
      <c r="H10" s="31">
        <f>(G10*C10)</f>
        <v>71820</v>
      </c>
      <c r="I10" s="29"/>
      <c r="J10" s="31"/>
      <c r="K10" s="32"/>
      <c r="L10" s="31"/>
      <c r="M10" s="24"/>
      <c r="N10" s="6"/>
      <c r="O10" s="3"/>
      <c r="P10" s="4"/>
      <c r="AS10" s="9" t="s">
        <v>8</v>
      </c>
      <c r="AT10" s="7">
        <v>163013</v>
      </c>
      <c r="AX10">
        <f>M6</f>
        <v>0</v>
      </c>
      <c r="AY10" s="7">
        <f>M28</f>
        <v>0</v>
      </c>
    </row>
    <row r="11" spans="1:51" ht="15.75" thickBot="1" x14ac:dyDescent="0.3">
      <c r="A11" s="60">
        <v>4</v>
      </c>
      <c r="B11" s="67" t="s">
        <v>44</v>
      </c>
      <c r="C11" s="53">
        <v>1</v>
      </c>
      <c r="D11" s="27" t="s">
        <v>13</v>
      </c>
      <c r="E11" s="45"/>
      <c r="F11" s="46"/>
      <c r="G11" s="45">
        <v>29300</v>
      </c>
      <c r="H11" s="46">
        <f>(G11*C11)</f>
        <v>29300</v>
      </c>
      <c r="I11" s="47"/>
      <c r="J11" s="46"/>
      <c r="K11" s="32"/>
      <c r="L11" s="31"/>
      <c r="M11" s="24"/>
      <c r="N11" s="6"/>
      <c r="O11" s="3"/>
      <c r="P11" s="4"/>
      <c r="AS11" s="9">
        <v>0</v>
      </c>
      <c r="AT11" s="7">
        <v>0</v>
      </c>
      <c r="AX11">
        <f>O6</f>
        <v>0</v>
      </c>
      <c r="AY11" s="7">
        <f>O28</f>
        <v>0</v>
      </c>
    </row>
    <row r="12" spans="1:51" ht="15.75" thickBot="1" x14ac:dyDescent="0.3">
      <c r="A12" s="61">
        <v>5</v>
      </c>
      <c r="B12" s="67"/>
      <c r="C12" s="53">
        <v>1</v>
      </c>
      <c r="D12" s="27" t="s">
        <v>13</v>
      </c>
      <c r="E12" s="57"/>
      <c r="F12" s="58"/>
      <c r="G12" s="57"/>
      <c r="H12" s="58"/>
      <c r="I12" s="29"/>
      <c r="J12" s="31"/>
      <c r="K12" s="37"/>
      <c r="L12" s="31"/>
      <c r="M12" s="25"/>
      <c r="N12" s="6"/>
      <c r="O12" s="5"/>
      <c r="P12" s="4"/>
      <c r="AS12" s="9" t="s">
        <v>14</v>
      </c>
      <c r="AT12" s="7">
        <v>1682703</v>
      </c>
    </row>
    <row r="13" spans="1:51" s="42" customFormat="1" ht="15.75" thickBot="1" x14ac:dyDescent="0.3">
      <c r="A13" s="61">
        <v>6</v>
      </c>
      <c r="B13" s="68" t="s">
        <v>46</v>
      </c>
      <c r="C13" s="53">
        <v>1</v>
      </c>
      <c r="D13" s="27" t="s">
        <v>13</v>
      </c>
      <c r="E13" s="56"/>
      <c r="F13" s="31"/>
      <c r="G13" s="56"/>
      <c r="H13" s="31"/>
      <c r="I13" s="28">
        <v>84519</v>
      </c>
      <c r="J13" s="31">
        <f>(I13*C13)</f>
        <v>84519</v>
      </c>
      <c r="K13" s="55"/>
      <c r="L13" s="35"/>
      <c r="M13" s="38"/>
      <c r="N13" s="39"/>
      <c r="O13" s="40"/>
      <c r="P13" s="41"/>
    </row>
    <row r="14" spans="1:51" s="42" customFormat="1" ht="15.75" thickBot="1" x14ac:dyDescent="0.3">
      <c r="A14" s="61">
        <v>7</v>
      </c>
      <c r="B14" s="66" t="s">
        <v>45</v>
      </c>
      <c r="C14" s="53">
        <v>1</v>
      </c>
      <c r="D14" s="27" t="s">
        <v>13</v>
      </c>
      <c r="E14" s="56"/>
      <c r="F14" s="31"/>
      <c r="G14" s="56"/>
      <c r="H14" s="31"/>
      <c r="I14" s="28">
        <v>23629</v>
      </c>
      <c r="J14" s="31">
        <f>(I14*C14)</f>
        <v>23629</v>
      </c>
      <c r="K14" s="55"/>
      <c r="L14" s="35"/>
      <c r="M14" s="40"/>
      <c r="N14" s="41"/>
      <c r="O14" s="40"/>
      <c r="P14" s="41"/>
      <c r="AS14" s="43"/>
      <c r="AT14" s="44"/>
    </row>
    <row r="15" spans="1:51" s="50" customFormat="1" ht="21" customHeight="1" thickBot="1" x14ac:dyDescent="0.3">
      <c r="A15" s="61">
        <v>8</v>
      </c>
      <c r="B15" s="69"/>
      <c r="C15" s="53">
        <v>1</v>
      </c>
      <c r="D15" s="27" t="s">
        <v>13</v>
      </c>
      <c r="E15" s="54"/>
      <c r="F15" s="31"/>
      <c r="G15" s="54"/>
      <c r="H15" s="31"/>
      <c r="I15" s="55"/>
      <c r="J15" s="31"/>
      <c r="K15" s="37"/>
      <c r="L15" s="46"/>
      <c r="M15" s="48"/>
      <c r="N15" s="49"/>
      <c r="O15" s="48"/>
      <c r="P15" s="49"/>
      <c r="AS15" s="51"/>
      <c r="AT15" s="52"/>
    </row>
    <row r="16" spans="1:51" s="50" customFormat="1" ht="15.75" thickBot="1" x14ac:dyDescent="0.3">
      <c r="A16" s="61">
        <v>9</v>
      </c>
      <c r="B16" s="73" t="s">
        <v>47</v>
      </c>
      <c r="C16" s="76">
        <v>1</v>
      </c>
      <c r="D16" s="27" t="s">
        <v>13</v>
      </c>
      <c r="E16" s="45"/>
      <c r="F16" s="31"/>
      <c r="G16" s="45"/>
      <c r="H16" s="31"/>
      <c r="I16" s="47"/>
      <c r="J16" s="31"/>
      <c r="K16" s="37">
        <v>67406</v>
      </c>
      <c r="L16" s="46">
        <f>(K16*C16)</f>
        <v>67406</v>
      </c>
      <c r="M16" s="48"/>
      <c r="N16" s="49"/>
      <c r="O16" s="48"/>
      <c r="P16" s="49"/>
      <c r="AS16" s="51"/>
      <c r="AT16" s="52"/>
    </row>
    <row r="17" spans="1:46" s="42" customFormat="1" ht="30.75" thickBot="1" x14ac:dyDescent="0.3">
      <c r="A17" s="62">
        <v>10</v>
      </c>
      <c r="B17" s="118" t="s">
        <v>48</v>
      </c>
      <c r="C17" s="76">
        <v>1</v>
      </c>
      <c r="D17" s="27" t="s">
        <v>13</v>
      </c>
      <c r="E17" s="34"/>
      <c r="F17" s="31"/>
      <c r="G17" s="34"/>
      <c r="H17" s="31"/>
      <c r="I17" s="36"/>
      <c r="J17" s="31"/>
      <c r="K17" s="37">
        <v>27912</v>
      </c>
      <c r="L17" s="35">
        <f>(K17*C17)</f>
        <v>27912</v>
      </c>
      <c r="M17" s="40"/>
      <c r="N17" s="41"/>
      <c r="O17" s="40"/>
      <c r="P17" s="41"/>
      <c r="AS17" s="43"/>
      <c r="AT17" s="44"/>
    </row>
    <row r="18" spans="1:46" ht="21" customHeight="1" thickBot="1" x14ac:dyDescent="0.3">
      <c r="A18" s="61">
        <v>11</v>
      </c>
      <c r="B18" s="74"/>
      <c r="C18" s="76">
        <v>1</v>
      </c>
      <c r="D18" s="27" t="s">
        <v>13</v>
      </c>
      <c r="E18" s="28"/>
      <c r="F18" s="31"/>
      <c r="G18" s="28"/>
      <c r="H18" s="31"/>
      <c r="I18" s="29"/>
      <c r="J18" s="31"/>
      <c r="K18" s="32"/>
      <c r="L18" s="31"/>
      <c r="M18" s="5"/>
      <c r="N18" s="41"/>
      <c r="O18" s="5"/>
      <c r="P18" s="4"/>
      <c r="AS18" s="9"/>
      <c r="AT18" s="7"/>
    </row>
    <row r="19" spans="1:46" ht="21" customHeight="1" thickBot="1" x14ac:dyDescent="0.3">
      <c r="A19" s="61"/>
      <c r="B19" s="75"/>
      <c r="C19" s="77">
        <v>1</v>
      </c>
      <c r="D19" s="27" t="s">
        <v>13</v>
      </c>
      <c r="E19" s="28"/>
      <c r="F19" s="31">
        <f t="shared" ref="F19:F23" si="0">(E19*C19)</f>
        <v>0</v>
      </c>
      <c r="G19" s="28"/>
      <c r="H19" s="31">
        <f t="shared" ref="H19:L27" si="1">(G19*E19)</f>
        <v>0</v>
      </c>
      <c r="I19" s="29"/>
      <c r="J19" s="31">
        <f t="shared" si="1"/>
        <v>0</v>
      </c>
      <c r="K19" s="32"/>
      <c r="L19" s="31">
        <f t="shared" si="1"/>
        <v>0</v>
      </c>
      <c r="M19" s="5"/>
      <c r="N19" s="4"/>
      <c r="O19" s="5"/>
      <c r="P19" s="4"/>
      <c r="AS19" s="9"/>
      <c r="AT19" s="7"/>
    </row>
    <row r="20" spans="1:46" ht="21" customHeight="1" thickBot="1" x14ac:dyDescent="0.3">
      <c r="A20" s="61"/>
      <c r="B20" s="70"/>
      <c r="C20" s="33">
        <v>1</v>
      </c>
      <c r="D20" s="27" t="s">
        <v>13</v>
      </c>
      <c r="E20" s="28"/>
      <c r="F20" s="31">
        <f t="shared" si="0"/>
        <v>0</v>
      </c>
      <c r="G20" s="28"/>
      <c r="H20" s="31">
        <f t="shared" si="1"/>
        <v>0</v>
      </c>
      <c r="I20" s="29"/>
      <c r="J20" s="31">
        <f t="shared" si="1"/>
        <v>0</v>
      </c>
      <c r="K20" s="32"/>
      <c r="L20" s="31">
        <f t="shared" si="1"/>
        <v>0</v>
      </c>
      <c r="M20" s="5"/>
      <c r="N20" s="4"/>
      <c r="O20" s="5"/>
      <c r="P20" s="4"/>
      <c r="AS20" s="9"/>
      <c r="AT20" s="7"/>
    </row>
    <row r="21" spans="1:46" ht="21" customHeight="1" thickBot="1" x14ac:dyDescent="0.3">
      <c r="A21" s="61"/>
      <c r="B21" s="70"/>
      <c r="C21" s="33">
        <v>1</v>
      </c>
      <c r="D21" s="27" t="s">
        <v>13</v>
      </c>
      <c r="E21" s="28"/>
      <c r="F21" s="31">
        <f t="shared" si="0"/>
        <v>0</v>
      </c>
      <c r="G21" s="28"/>
      <c r="H21" s="31">
        <f t="shared" si="1"/>
        <v>0</v>
      </c>
      <c r="I21" s="29"/>
      <c r="J21" s="31">
        <f t="shared" si="1"/>
        <v>0</v>
      </c>
      <c r="K21" s="32"/>
      <c r="L21" s="31">
        <f t="shared" si="1"/>
        <v>0</v>
      </c>
      <c r="M21" s="5"/>
      <c r="N21" s="4"/>
      <c r="O21" s="5"/>
      <c r="P21" s="4"/>
      <c r="AS21" s="9"/>
      <c r="AT21" s="7"/>
    </row>
    <row r="22" spans="1:46" ht="21" customHeight="1" thickBot="1" x14ac:dyDescent="0.3">
      <c r="A22" s="61"/>
      <c r="B22" s="70"/>
      <c r="C22" s="33">
        <v>1</v>
      </c>
      <c r="D22" s="27" t="s">
        <v>13</v>
      </c>
      <c r="E22" s="28"/>
      <c r="F22" s="31">
        <f t="shared" si="0"/>
        <v>0</v>
      </c>
      <c r="G22" s="28"/>
      <c r="H22" s="31">
        <f t="shared" si="1"/>
        <v>0</v>
      </c>
      <c r="I22" s="29"/>
      <c r="J22" s="31">
        <f t="shared" si="1"/>
        <v>0</v>
      </c>
      <c r="K22" s="32"/>
      <c r="L22" s="31">
        <f t="shared" si="1"/>
        <v>0</v>
      </c>
      <c r="M22" s="5"/>
      <c r="N22" s="4"/>
      <c r="O22" s="5"/>
      <c r="P22" s="4"/>
      <c r="AS22" s="9"/>
      <c r="AT22" s="7"/>
    </row>
    <row r="23" spans="1:46" ht="21" customHeight="1" thickBot="1" x14ac:dyDescent="0.3">
      <c r="A23" s="61"/>
      <c r="B23" s="71"/>
      <c r="C23" s="33">
        <v>1</v>
      </c>
      <c r="D23" s="27" t="s">
        <v>13</v>
      </c>
      <c r="E23" s="28"/>
      <c r="F23" s="31">
        <f t="shared" si="0"/>
        <v>0</v>
      </c>
      <c r="G23" s="28"/>
      <c r="H23" s="31">
        <f t="shared" si="1"/>
        <v>0</v>
      </c>
      <c r="I23" s="29"/>
      <c r="J23" s="31">
        <f t="shared" si="1"/>
        <v>0</v>
      </c>
      <c r="K23" s="32"/>
      <c r="L23" s="31">
        <f t="shared" si="1"/>
        <v>0</v>
      </c>
      <c r="M23" s="5"/>
      <c r="N23" s="4"/>
      <c r="O23" s="5"/>
      <c r="P23" s="4"/>
      <c r="AS23" s="9"/>
      <c r="AT23" s="7"/>
    </row>
    <row r="24" spans="1:46" ht="21" customHeight="1" thickBot="1" x14ac:dyDescent="0.3">
      <c r="A24" s="61"/>
      <c r="B24" s="65"/>
      <c r="C24" s="33">
        <v>1</v>
      </c>
      <c r="D24" s="27" t="s">
        <v>13</v>
      </c>
      <c r="E24" s="28"/>
      <c r="F24" s="31">
        <f t="shared" ref="F24:F27" si="2">(E24*C24)</f>
        <v>0</v>
      </c>
      <c r="G24" s="28"/>
      <c r="H24" s="31">
        <f t="shared" si="1"/>
        <v>0</v>
      </c>
      <c r="I24" s="29"/>
      <c r="J24" s="31">
        <f t="shared" si="1"/>
        <v>0</v>
      </c>
      <c r="K24" s="32"/>
      <c r="L24" s="31">
        <f t="shared" si="1"/>
        <v>0</v>
      </c>
      <c r="M24" s="5"/>
      <c r="N24" s="4"/>
      <c r="O24" s="5"/>
      <c r="P24" s="4"/>
      <c r="AS24" s="9"/>
      <c r="AT24" s="7"/>
    </row>
    <row r="25" spans="1:46" ht="21" customHeight="1" thickBot="1" x14ac:dyDescent="0.3">
      <c r="A25" s="61"/>
      <c r="B25" s="65"/>
      <c r="C25" s="33">
        <v>1</v>
      </c>
      <c r="D25" s="27" t="s">
        <v>13</v>
      </c>
      <c r="E25" s="28"/>
      <c r="F25" s="31">
        <f t="shared" si="2"/>
        <v>0</v>
      </c>
      <c r="G25" s="28"/>
      <c r="H25" s="31">
        <f t="shared" si="1"/>
        <v>0</v>
      </c>
      <c r="I25" s="29"/>
      <c r="J25" s="31">
        <f t="shared" si="1"/>
        <v>0</v>
      </c>
      <c r="K25" s="32"/>
      <c r="L25" s="31">
        <f t="shared" si="1"/>
        <v>0</v>
      </c>
      <c r="M25" s="5"/>
      <c r="N25" s="4"/>
      <c r="O25" s="5"/>
      <c r="P25" s="4"/>
      <c r="AS25" s="9"/>
      <c r="AT25" s="7"/>
    </row>
    <row r="26" spans="1:46" ht="21" customHeight="1" thickBot="1" x14ac:dyDescent="0.3">
      <c r="A26" s="61"/>
      <c r="B26" s="65"/>
      <c r="C26" s="33">
        <v>1</v>
      </c>
      <c r="D26" s="27" t="s">
        <v>13</v>
      </c>
      <c r="E26" s="28"/>
      <c r="F26" s="31">
        <f t="shared" si="2"/>
        <v>0</v>
      </c>
      <c r="G26" s="28"/>
      <c r="H26" s="31">
        <f t="shared" si="1"/>
        <v>0</v>
      </c>
      <c r="I26" s="29"/>
      <c r="J26" s="31">
        <f t="shared" si="1"/>
        <v>0</v>
      </c>
      <c r="K26" s="32"/>
      <c r="L26" s="31">
        <f t="shared" si="1"/>
        <v>0</v>
      </c>
      <c r="M26" s="5"/>
      <c r="N26" s="4"/>
      <c r="O26" s="5"/>
      <c r="P26" s="4"/>
      <c r="AS26" s="9"/>
      <c r="AT26" s="7"/>
    </row>
    <row r="27" spans="1:46" ht="21" customHeight="1" thickBot="1" x14ac:dyDescent="0.3">
      <c r="A27" s="63"/>
      <c r="B27" s="72"/>
      <c r="C27" s="33">
        <v>1</v>
      </c>
      <c r="D27" s="27" t="s">
        <v>13</v>
      </c>
      <c r="E27" s="30"/>
      <c r="F27" s="31">
        <f t="shared" si="2"/>
        <v>0</v>
      </c>
      <c r="G27" s="28"/>
      <c r="H27" s="31">
        <f t="shared" si="1"/>
        <v>0</v>
      </c>
      <c r="I27" s="29"/>
      <c r="J27" s="31">
        <f t="shared" si="1"/>
        <v>0</v>
      </c>
      <c r="K27" s="32"/>
      <c r="L27" s="31">
        <f t="shared" si="1"/>
        <v>0</v>
      </c>
      <c r="M27" s="5"/>
      <c r="N27" s="4"/>
      <c r="O27" s="5"/>
      <c r="P27" s="4"/>
      <c r="AS27" s="9"/>
      <c r="AT27" s="7"/>
    </row>
    <row r="28" spans="1:46" ht="21" customHeight="1" thickBot="1" x14ac:dyDescent="0.3">
      <c r="A28" s="92" t="s">
        <v>12</v>
      </c>
      <c r="B28" s="93"/>
      <c r="C28" s="93"/>
      <c r="D28" s="94"/>
      <c r="E28" s="95">
        <f>SUM(F8:F27)</f>
        <v>100832</v>
      </c>
      <c r="F28" s="96"/>
      <c r="G28" s="98">
        <f>SUM(H8:H27)</f>
        <v>101120</v>
      </c>
      <c r="H28" s="99"/>
      <c r="I28" s="100">
        <f>SUM(J8:J27)</f>
        <v>108148</v>
      </c>
      <c r="J28" s="100"/>
      <c r="K28" s="95">
        <f>SUM(L8:L27)</f>
        <v>95318</v>
      </c>
      <c r="L28" s="96"/>
      <c r="M28" s="95">
        <f>SUM(N8:N27)</f>
        <v>0</v>
      </c>
      <c r="N28" s="96"/>
      <c r="O28" s="95">
        <f>SUM(P8:P27)</f>
        <v>0</v>
      </c>
      <c r="P28" s="96"/>
    </row>
    <row r="29" spans="1:46" ht="21" customHeight="1" thickBot="1" x14ac:dyDescent="0.3">
      <c r="A29" s="92" t="s">
        <v>15</v>
      </c>
      <c r="B29" s="93"/>
      <c r="C29" s="93"/>
      <c r="D29" s="93"/>
      <c r="E29" s="16"/>
      <c r="F29" s="19"/>
      <c r="G29" s="16"/>
      <c r="H29" s="19"/>
      <c r="I29" s="16"/>
      <c r="J29" s="19"/>
      <c r="K29" s="16"/>
      <c r="L29" s="19"/>
      <c r="M29" s="16"/>
      <c r="N29" s="19"/>
      <c r="O29" s="16"/>
      <c r="P29" s="19"/>
    </row>
    <row r="30" spans="1:46" ht="15.75" thickBot="1" x14ac:dyDescent="0.3">
      <c r="A30" s="1"/>
      <c r="B30" s="2"/>
      <c r="C30" s="2"/>
      <c r="D30" s="2"/>
    </row>
    <row r="31" spans="1:46" ht="20.25" customHeight="1" thickBot="1" x14ac:dyDescent="0.3">
      <c r="A31" s="81" t="s">
        <v>16</v>
      </c>
      <c r="B31" s="82"/>
      <c r="C31" s="82"/>
      <c r="D31" s="83"/>
      <c r="E31" s="79" t="s">
        <v>17</v>
      </c>
      <c r="F31" s="80"/>
      <c r="G31" s="79" t="s">
        <v>17</v>
      </c>
      <c r="H31" s="80"/>
      <c r="I31" s="79" t="s">
        <v>17</v>
      </c>
      <c r="J31" s="80"/>
      <c r="K31" s="79" t="s">
        <v>17</v>
      </c>
      <c r="L31" s="80"/>
      <c r="M31" s="79" t="s">
        <v>17</v>
      </c>
      <c r="N31" s="80"/>
      <c r="O31" s="79" t="s">
        <v>17</v>
      </c>
      <c r="P31" s="80"/>
    </row>
    <row r="32" spans="1:46" ht="20.25" customHeight="1" thickBot="1" x14ac:dyDescent="0.3">
      <c r="A32" s="81" t="s">
        <v>18</v>
      </c>
      <c r="B32" s="82"/>
      <c r="C32" s="82"/>
      <c r="D32" s="83"/>
      <c r="E32" s="79" t="s">
        <v>19</v>
      </c>
      <c r="F32" s="80"/>
      <c r="G32" s="79" t="s">
        <v>19</v>
      </c>
      <c r="H32" s="80"/>
      <c r="I32" s="79" t="s">
        <v>19</v>
      </c>
      <c r="J32" s="80"/>
      <c r="K32" s="79" t="s">
        <v>19</v>
      </c>
      <c r="L32" s="80"/>
      <c r="M32" s="79" t="s">
        <v>19</v>
      </c>
      <c r="N32" s="80"/>
      <c r="O32" s="79" t="s">
        <v>19</v>
      </c>
      <c r="P32" s="80"/>
    </row>
    <row r="33" spans="1:17" ht="20.25" customHeight="1" thickBot="1" x14ac:dyDescent="0.3">
      <c r="A33" s="81" t="s">
        <v>20</v>
      </c>
      <c r="B33" s="82"/>
      <c r="C33" s="82"/>
      <c r="D33" s="83"/>
      <c r="E33" s="79" t="s">
        <v>21</v>
      </c>
      <c r="F33" s="80"/>
      <c r="G33" s="79" t="s">
        <v>21</v>
      </c>
      <c r="H33" s="80"/>
      <c r="I33" s="79" t="s">
        <v>21</v>
      </c>
      <c r="J33" s="80"/>
      <c r="K33" s="79" t="s">
        <v>21</v>
      </c>
      <c r="L33" s="80"/>
      <c r="M33" s="79" t="s">
        <v>21</v>
      </c>
      <c r="N33" s="80"/>
      <c r="O33" s="79" t="s">
        <v>21</v>
      </c>
      <c r="P33" s="80"/>
    </row>
    <row r="34" spans="1:17" ht="20.25" customHeight="1" thickBot="1" x14ac:dyDescent="0.3">
      <c r="A34" s="81" t="s">
        <v>22</v>
      </c>
      <c r="B34" s="82"/>
      <c r="C34" s="82"/>
      <c r="D34" s="83"/>
      <c r="E34" s="79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0"/>
    </row>
    <row r="35" spans="1:17" ht="20.25" customHeight="1" thickBot="1" x14ac:dyDescent="0.3">
      <c r="A35" s="81" t="s">
        <v>23</v>
      </c>
      <c r="B35" s="82"/>
      <c r="C35" s="82"/>
      <c r="D35" s="83"/>
      <c r="E35" s="108"/>
      <c r="F35" s="109"/>
      <c r="G35" s="79"/>
      <c r="H35" s="80"/>
      <c r="I35" s="79"/>
      <c r="J35" s="80"/>
      <c r="K35" s="79"/>
      <c r="L35" s="80"/>
      <c r="M35" s="79"/>
      <c r="N35" s="80"/>
      <c r="O35" s="79"/>
      <c r="P35" s="80"/>
    </row>
    <row r="36" spans="1:17" ht="20.25" customHeight="1" thickBot="1" x14ac:dyDescent="0.3"/>
    <row r="37" spans="1:17" ht="65.25" customHeight="1" thickBot="1" x14ac:dyDescent="0.3">
      <c r="A37" s="84" t="s">
        <v>24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6"/>
    </row>
    <row r="38" spans="1:17" ht="15.75" thickBot="1" x14ac:dyDescent="0.3"/>
    <row r="39" spans="1:17" x14ac:dyDescent="0.25">
      <c r="A39" s="112" t="s">
        <v>25</v>
      </c>
      <c r="B39" s="113"/>
      <c r="C39" s="114"/>
      <c r="D39" s="114"/>
      <c r="E39" s="115"/>
    </row>
    <row r="40" spans="1:17" ht="15.75" thickBot="1" x14ac:dyDescent="0.3">
      <c r="A40" s="110" t="s">
        <v>26</v>
      </c>
      <c r="B40" s="111"/>
      <c r="C40" s="116" t="s">
        <v>27</v>
      </c>
      <c r="D40" s="116"/>
      <c r="E40" s="117"/>
      <c r="F40" s="7">
        <f>K44/1.19</f>
        <v>66899.159663865546</v>
      </c>
      <c r="G40" s="7">
        <f>K44/1.19</f>
        <v>66899.159663865546</v>
      </c>
      <c r="H40" s="7">
        <f>G40*1.19</f>
        <v>79610</v>
      </c>
    </row>
    <row r="41" spans="1:17" x14ac:dyDescent="0.25">
      <c r="A41" s="22"/>
      <c r="B41" s="22"/>
      <c r="C41" s="9"/>
      <c r="D41" s="9"/>
      <c r="E41" s="9"/>
    </row>
    <row r="42" spans="1:17" ht="15.75" thickBot="1" x14ac:dyDescent="0.3">
      <c r="F42" s="88" t="s">
        <v>28</v>
      </c>
      <c r="G42" s="89"/>
      <c r="H42" s="89"/>
      <c r="J42" s="78" t="s">
        <v>29</v>
      </c>
      <c r="K42" s="78"/>
      <c r="L42" s="78"/>
    </row>
    <row r="43" spans="1:17" ht="15.75" thickBot="1" x14ac:dyDescent="0.3">
      <c r="A43" s="11" t="s">
        <v>30</v>
      </c>
      <c r="B43" s="12" t="s">
        <v>31</v>
      </c>
      <c r="C43" s="12" t="s">
        <v>32</v>
      </c>
      <c r="D43" s="12" t="s">
        <v>33</v>
      </c>
      <c r="E43" s="12" t="s">
        <v>34</v>
      </c>
      <c r="F43" s="15">
        <v>2024</v>
      </c>
      <c r="G43" s="106">
        <v>2025</v>
      </c>
      <c r="H43" s="107"/>
    </row>
    <row r="44" spans="1:17" ht="15.75" thickBot="1" x14ac:dyDescent="0.3">
      <c r="A44" s="11">
        <v>1</v>
      </c>
      <c r="B44" s="20"/>
      <c r="C44" s="17"/>
      <c r="D44" s="13"/>
      <c r="E44" s="14"/>
      <c r="F44" s="14"/>
      <c r="G44" s="14">
        <f>+L44</f>
        <v>26536.666666666668</v>
      </c>
      <c r="H44" s="18" t="e">
        <f>+G44/F44</f>
        <v>#DIV/0!</v>
      </c>
      <c r="J44">
        <v>3</v>
      </c>
      <c r="K44" s="21">
        <v>79610</v>
      </c>
      <c r="L44" s="21">
        <f>+K44/J44</f>
        <v>26536.666666666668</v>
      </c>
      <c r="O44" s="7"/>
      <c r="Q44" s="23"/>
    </row>
    <row r="45" spans="1:17" ht="15.75" thickBot="1" x14ac:dyDescent="0.3">
      <c r="A45" s="11">
        <v>2</v>
      </c>
      <c r="B45" s="20"/>
      <c r="C45" s="17"/>
      <c r="D45" s="13"/>
      <c r="E45" s="14"/>
      <c r="F45" s="14"/>
      <c r="G45" s="14">
        <f t="shared" ref="G45:G50" si="3">+L45</f>
        <v>4850</v>
      </c>
      <c r="H45" s="18" t="e">
        <f>+G45/F45</f>
        <v>#DIV/0!</v>
      </c>
      <c r="J45">
        <v>30</v>
      </c>
      <c r="K45" s="21">
        <v>145500</v>
      </c>
      <c r="L45" s="21">
        <f t="shared" ref="L45:L50" si="4">+K45/J45</f>
        <v>4850</v>
      </c>
      <c r="O45" s="7"/>
      <c r="Q45" s="23"/>
    </row>
    <row r="46" spans="1:17" ht="15.75" thickBot="1" x14ac:dyDescent="0.3">
      <c r="A46" s="11">
        <v>3</v>
      </c>
      <c r="B46" s="20"/>
      <c r="C46" s="17"/>
      <c r="D46" s="13"/>
      <c r="E46" s="14"/>
      <c r="F46" s="14"/>
      <c r="G46" s="14">
        <f t="shared" si="3"/>
        <v>20550</v>
      </c>
      <c r="H46" s="18" t="e">
        <f t="shared" ref="H46:H50" si="5">+G46/F46</f>
        <v>#DIV/0!</v>
      </c>
      <c r="J46">
        <v>20</v>
      </c>
      <c r="K46" s="21">
        <v>411000</v>
      </c>
      <c r="L46" s="21">
        <f t="shared" si="4"/>
        <v>20550</v>
      </c>
      <c r="O46" s="7"/>
      <c r="Q46" s="23"/>
    </row>
    <row r="47" spans="1:17" ht="15.75" thickBot="1" x14ac:dyDescent="0.3">
      <c r="A47" s="11">
        <v>4</v>
      </c>
      <c r="B47" s="20"/>
      <c r="C47" s="17"/>
      <c r="D47" s="13"/>
      <c r="E47" s="14"/>
      <c r="F47" s="14"/>
      <c r="G47" s="14">
        <v>29880</v>
      </c>
      <c r="H47" s="18" t="e">
        <f t="shared" si="5"/>
        <v>#DIV/0!</v>
      </c>
      <c r="J47">
        <v>3</v>
      </c>
      <c r="K47" s="21">
        <v>33750</v>
      </c>
      <c r="L47" s="21">
        <f t="shared" si="4"/>
        <v>11250</v>
      </c>
      <c r="O47" s="7"/>
      <c r="Q47" s="23"/>
    </row>
    <row r="48" spans="1:17" ht="15.75" thickBot="1" x14ac:dyDescent="0.3">
      <c r="A48" s="11">
        <v>5</v>
      </c>
      <c r="B48" s="20"/>
      <c r="C48" s="17"/>
      <c r="D48" s="13"/>
      <c r="E48" s="14"/>
      <c r="F48" s="14"/>
      <c r="G48" s="14">
        <f t="shared" si="3"/>
        <v>6450</v>
      </c>
      <c r="H48" s="18" t="e">
        <f t="shared" si="5"/>
        <v>#DIV/0!</v>
      </c>
      <c r="J48">
        <v>25</v>
      </c>
      <c r="K48" s="21">
        <v>161250</v>
      </c>
      <c r="L48" s="21">
        <f t="shared" si="4"/>
        <v>6450</v>
      </c>
      <c r="O48" s="7"/>
      <c r="Q48" s="23"/>
    </row>
    <row r="49" spans="1:17" ht="15.75" thickBot="1" x14ac:dyDescent="0.3">
      <c r="A49" s="11">
        <v>6</v>
      </c>
      <c r="B49" s="20"/>
      <c r="C49" s="17"/>
      <c r="D49" s="13"/>
      <c r="E49" s="14"/>
      <c r="F49" s="14"/>
      <c r="G49" s="14">
        <f t="shared" si="3"/>
        <v>4950</v>
      </c>
      <c r="H49" s="18" t="e">
        <f t="shared" si="5"/>
        <v>#DIV/0!</v>
      </c>
      <c r="J49">
        <v>10</v>
      </c>
      <c r="K49" s="21">
        <v>49500</v>
      </c>
      <c r="L49" s="21">
        <f t="shared" si="4"/>
        <v>4950</v>
      </c>
      <c r="O49" s="7"/>
      <c r="Q49" s="23"/>
    </row>
    <row r="50" spans="1:17" ht="15.75" thickBot="1" x14ac:dyDescent="0.3">
      <c r="A50" s="11">
        <v>7</v>
      </c>
      <c r="B50" s="20"/>
      <c r="C50" s="17"/>
      <c r="D50" s="13"/>
      <c r="E50" s="14"/>
      <c r="F50" s="14"/>
      <c r="G50" s="14">
        <f t="shared" si="3"/>
        <v>9400</v>
      </c>
      <c r="H50" s="18" t="e">
        <f t="shared" si="5"/>
        <v>#DIV/0!</v>
      </c>
      <c r="J50">
        <v>25</v>
      </c>
      <c r="K50" s="21">
        <v>235000</v>
      </c>
      <c r="L50" s="21">
        <f t="shared" si="4"/>
        <v>9400</v>
      </c>
      <c r="O50" s="7"/>
      <c r="Q50" s="23"/>
    </row>
  </sheetData>
  <mergeCells count="59">
    <mergeCell ref="A29:D29"/>
    <mergeCell ref="G43:H43"/>
    <mergeCell ref="A33:D33"/>
    <mergeCell ref="A34:D34"/>
    <mergeCell ref="K33:L33"/>
    <mergeCell ref="K35:L35"/>
    <mergeCell ref="E35:F35"/>
    <mergeCell ref="G35:H35"/>
    <mergeCell ref="I33:J33"/>
    <mergeCell ref="I35:J35"/>
    <mergeCell ref="G33:H33"/>
    <mergeCell ref="A40:B40"/>
    <mergeCell ref="A39:B39"/>
    <mergeCell ref="C39:E39"/>
    <mergeCell ref="C40:E40"/>
    <mergeCell ref="E33:F33"/>
    <mergeCell ref="C1:P2"/>
    <mergeCell ref="M31:N31"/>
    <mergeCell ref="O31:P31"/>
    <mergeCell ref="M32:N32"/>
    <mergeCell ref="O32:P32"/>
    <mergeCell ref="M6:N6"/>
    <mergeCell ref="M28:N28"/>
    <mergeCell ref="O6:P6"/>
    <mergeCell ref="O28:P28"/>
    <mergeCell ref="C3:P4"/>
    <mergeCell ref="I31:J31"/>
    <mergeCell ref="G31:H31"/>
    <mergeCell ref="I32:J32"/>
    <mergeCell ref="A31:D31"/>
    <mergeCell ref="A1:B4"/>
    <mergeCell ref="A6:A7"/>
    <mergeCell ref="C6:C7"/>
    <mergeCell ref="A28:D28"/>
    <mergeCell ref="A32:D32"/>
    <mergeCell ref="D6:D7"/>
    <mergeCell ref="K28:L28"/>
    <mergeCell ref="I6:J6"/>
    <mergeCell ref="B6:B7"/>
    <mergeCell ref="E6:F6"/>
    <mergeCell ref="G6:H6"/>
    <mergeCell ref="K6:L6"/>
    <mergeCell ref="E28:F28"/>
    <mergeCell ref="G28:H28"/>
    <mergeCell ref="K31:L31"/>
    <mergeCell ref="K32:L32"/>
    <mergeCell ref="I28:J28"/>
    <mergeCell ref="E31:F31"/>
    <mergeCell ref="J42:L42"/>
    <mergeCell ref="E32:F32"/>
    <mergeCell ref="G32:H32"/>
    <mergeCell ref="A35:D35"/>
    <mergeCell ref="A37:P37"/>
    <mergeCell ref="M33:N33"/>
    <mergeCell ref="O33:P33"/>
    <mergeCell ref="M35:N35"/>
    <mergeCell ref="O35:P35"/>
    <mergeCell ref="E34:P34"/>
    <mergeCell ref="F42:H42"/>
  </mergeCells>
  <pageMargins left="0.25" right="0.25" top="0.75" bottom="0.75" header="0.3" footer="0.3"/>
  <pageSetup paperSize="9" scale="3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106E-5FB4-438A-87CC-36F196268138}">
  <dimension ref="A1"/>
  <sheetViews>
    <sheetView topLeftCell="A10" workbookViewId="0">
      <selection activeCell="H7" sqref="H7:I7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95DA-6366-46EC-8A84-7B493C3C72BE}">
  <dimension ref="A1"/>
  <sheetViews>
    <sheetView topLeftCell="A10" workbookViewId="0">
      <selection activeCell="H7" sqref="H7:I7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2999-413A-49BE-9778-BF3B8E90735A}">
  <dimension ref="A1"/>
  <sheetViews>
    <sheetView topLeftCell="A10" workbookViewId="0">
      <selection activeCell="H7" sqref="H7:I7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11B50EF013764D864AF8B80E92D589" ma:contentTypeVersion="16" ma:contentTypeDescription="Crear nuevo documento." ma:contentTypeScope="" ma:versionID="473b2872b9d214de9fb1e91eafa05edf">
  <xsd:schema xmlns:xsd="http://www.w3.org/2001/XMLSchema" xmlns:xs="http://www.w3.org/2001/XMLSchema" xmlns:p="http://schemas.microsoft.com/office/2006/metadata/properties" xmlns:ns2="a5fd03ea-0d12-4ca4-a8ff-f925768866d6" xmlns:ns3="89476537-1378-4a4b-9abd-56d335095793" targetNamespace="http://schemas.microsoft.com/office/2006/metadata/properties" ma:root="true" ma:fieldsID="7cacca07bb0e1d30a01fb8fbcde59285" ns2:_="" ns3:_="">
    <xsd:import namespace="a5fd03ea-0d12-4ca4-a8ff-f925768866d6"/>
    <xsd:import namespace="89476537-1378-4a4b-9abd-56d3350957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Fechadeges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d03ea-0d12-4ca4-a8ff-f92576886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7bf5f83-4fd3-4c6b-836d-3d8bd9dca0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Fechadegestion" ma:index="21" nillable="true" ma:displayName="Fecha de gestion" ma:default="07/03/2024" ma:format="DateOnly" ma:internalName="Fechadegestion">
      <xsd:simpleType>
        <xsd:restriction base="dms:DateTim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76537-1378-4a4b-9abd-56d3350957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19d2a37-2dbf-46bf-ae24-cc46abc2d75e}" ma:internalName="TaxCatchAll" ma:showField="CatchAllData" ma:web="89476537-1378-4a4b-9abd-56d3350957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degestion xmlns="a5fd03ea-0d12-4ca4-a8ff-f925768866d6" xsi:nil="true"/>
    <SharedWithUsers xmlns="89476537-1378-4a4b-9abd-56d335095793">
      <UserInfo>
        <DisplayName/>
        <AccountId xsi:nil="true"/>
        <AccountType/>
      </UserInfo>
    </SharedWithUsers>
    <lcf76f155ced4ddcb4097134ff3c332f xmlns="a5fd03ea-0d12-4ca4-a8ff-f925768866d6">
      <Terms xmlns="http://schemas.microsoft.com/office/infopath/2007/PartnerControls"/>
    </lcf76f155ced4ddcb4097134ff3c332f>
    <TaxCatchAll xmlns="89476537-1378-4a4b-9abd-56d3350957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298D0A-94E4-4D25-AA45-C45C83591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fd03ea-0d12-4ca4-a8ff-f925768866d6"/>
    <ds:schemaRef ds:uri="89476537-1378-4a4b-9abd-56d3350957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F1B960-A0CF-42DA-9E05-C4AC59DFF050}">
  <ds:schemaRefs>
    <ds:schemaRef ds:uri="http://schemas.microsoft.com/office/2006/metadata/properties"/>
    <ds:schemaRef ds:uri="http://schemas.microsoft.com/office/infopath/2007/PartnerControls"/>
    <ds:schemaRef ds:uri="a5fd03ea-0d12-4ca4-a8ff-f925768866d6"/>
    <ds:schemaRef ds:uri="89476537-1378-4a4b-9abd-56d335095793"/>
  </ds:schemaRefs>
</ds:datastoreItem>
</file>

<file path=customXml/itemProps3.xml><?xml version="1.0" encoding="utf-8"?>
<ds:datastoreItem xmlns:ds="http://schemas.openxmlformats.org/officeDocument/2006/customXml" ds:itemID="{991EC061-209F-4212-93DD-90EDBB6AA1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TABLA COMPARATIVA</vt:lpstr>
      <vt:lpstr>RODAMAC</vt:lpstr>
      <vt:lpstr>DUCASSE </vt:lpstr>
      <vt:lpstr>RODAMINETOS INDUSTRIALES </vt:lpstr>
      <vt:lpstr>'TABLA COMPARATIVA'!Área_de_impresión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fredes</dc:creator>
  <cp:keywords/>
  <dc:description/>
  <cp:lastModifiedBy>Ignacio Maulen</cp:lastModifiedBy>
  <cp:revision/>
  <dcterms:created xsi:type="dcterms:W3CDTF">2021-10-07T15:03:25Z</dcterms:created>
  <dcterms:modified xsi:type="dcterms:W3CDTF">2025-12-23T12:48:32Z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f4de3f-4a68-4e9b-beca-c35a3a7d0024_Enabled">
    <vt:lpwstr>true</vt:lpwstr>
  </property>
  <property fmtid="{D5CDD505-2E9C-101B-9397-08002B2CF9AE}" pid="3" name="MSIP_Label_42f4de3f-4a68-4e9b-beca-c35a3a7d0024_SetDate">
    <vt:lpwstr>2024-11-15T11:51:52Z</vt:lpwstr>
  </property>
  <property fmtid="{D5CDD505-2E9C-101B-9397-08002B2CF9AE}" pid="4" name="MSIP_Label_42f4de3f-4a68-4e9b-beca-c35a3a7d0024_Method">
    <vt:lpwstr>Standard</vt:lpwstr>
  </property>
  <property fmtid="{D5CDD505-2E9C-101B-9397-08002B2CF9AE}" pid="5" name="MSIP_Label_42f4de3f-4a68-4e9b-beca-c35a3a7d0024_Name">
    <vt:lpwstr>AVeS Default</vt:lpwstr>
  </property>
  <property fmtid="{D5CDD505-2E9C-101B-9397-08002B2CF9AE}" pid="6" name="MSIP_Label_42f4de3f-4a68-4e9b-beca-c35a3a7d0024_SiteId">
    <vt:lpwstr>711edbae-ad21-46d2-a3e1-0a1c135396de</vt:lpwstr>
  </property>
  <property fmtid="{D5CDD505-2E9C-101B-9397-08002B2CF9AE}" pid="7" name="MSIP_Label_42f4de3f-4a68-4e9b-beca-c35a3a7d0024_ActionId">
    <vt:lpwstr>715a3f18-5a9e-4156-acf0-bdeed1b9b2bf</vt:lpwstr>
  </property>
  <property fmtid="{D5CDD505-2E9C-101B-9397-08002B2CF9AE}" pid="8" name="MSIP_Label_42f4de3f-4a68-4e9b-beca-c35a3a7d0024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0x010100CF11B50EF013764D864AF8B80E92D589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